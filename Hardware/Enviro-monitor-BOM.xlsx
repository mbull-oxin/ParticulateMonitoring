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E388A5F-CB30-4869-8855-B6E9EC7FDB01}" xr6:coauthVersionLast="47" xr6:coauthVersionMax="47" xr10:uidLastSave="{00000000-0000-0000-0000-000000000000}"/>
  <bookViews>
    <workbookView xWindow="26280" yWindow="2400" windowWidth="28800" windowHeight="15370" activeTab="2" xr2:uid="{D5BD9714-FAA0-4F94-A27E-070C37DAF597}"/>
  </bookViews>
  <sheets>
    <sheet name="Pi Hut" sheetId="1" r:id="rId1"/>
    <sheet name="Farnell" sheetId="2" r:id="rId2"/>
    <sheet name="Tools &amp; Consumabl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4" l="1"/>
  <c r="D22" i="2"/>
  <c r="D20" i="1"/>
  <c r="D24" i="2" s="1"/>
</calcChain>
</file>

<file path=xl/sharedStrings.xml><?xml version="1.0" encoding="utf-8"?>
<sst xmlns="http://schemas.openxmlformats.org/spreadsheetml/2006/main" count="38" uniqueCount="29">
  <si>
    <t>Description</t>
  </si>
  <si>
    <t>Order Code</t>
  </si>
  <si>
    <t>Count</t>
  </si>
  <si>
    <t>Value</t>
  </si>
  <si>
    <t>Raspberry Pi 4 Model B 2GB</t>
  </si>
  <si>
    <t>Seeed Environmental Sensor</t>
  </si>
  <si>
    <t>Multicomp PC enclosure</t>
  </si>
  <si>
    <t>order from Farnell - https://uk.farnell.com/</t>
  </si>
  <si>
    <t>MicroSD Card - sandisk 16gb</t>
  </si>
  <si>
    <t>UCB-C panel mount extension</t>
  </si>
  <si>
    <t>Raspberry Pi USB-C power supply</t>
  </si>
  <si>
    <t>SC0216</t>
  </si>
  <si>
    <t>Subtotal</t>
  </si>
  <si>
    <t>Running total including previous sheets</t>
  </si>
  <si>
    <t>Grove 4 Pin female Dupont cable</t>
  </si>
  <si>
    <t>Notes</t>
  </si>
  <si>
    <t>Right Angle USB-C adapter</t>
  </si>
  <si>
    <t>Pack of 5 cables order one per 5 units</t>
  </si>
  <si>
    <t>Supplier</t>
  </si>
  <si>
    <t>Count per unit</t>
  </si>
  <si>
    <t>Pack Size</t>
  </si>
  <si>
    <t>5mm 3M double sided tape</t>
  </si>
  <si>
    <t>3M Double Sided Tape (5mm x 3M) Heavy Duty Sticky Mounting Tape, Extra Strong and Weather Resistant : Amazon.co.uk: DIY &amp; Tools</t>
  </si>
  <si>
    <t>3 Meters</t>
  </si>
  <si>
    <t>20cm</t>
  </si>
  <si>
    <t>M3x8mm machine screw</t>
  </si>
  <si>
    <t>https://www.amazon.co.uk/sspa/click?ie=UTF8&amp;spc=MTo3NzU1NTM2Mjg3NzA2OTY2OjE3NjQzMTkxNDg6c3BfYXRmOjMwMDcxMDkyNDcwMjUzMjo6MDo6&amp;url=%2FM3-Bolts-Stainless-Threads-Spanner%2Fdp%2FB0F18LXK4R%2Fref%3Dsr_1_1_sspa%3Fcrid%3D38D79PJ64NZEV%26dib%3DeyJ2IjoiMSJ9.Zu2DURpvHZw0iovFYgSBxluze0Sqo2iPHG89OiMmQE7NKLa0xg9ilcwc7rW7MkqIA5qdjczSDu4CgE3ITzH1maln3-FWU9OEoJMO4S4ioBBjc1ekCwsKgFb6pSPq2ZP_niu92OsUSlNxMpYpDcd-Iampw_gkLx-TjFf6dcDZv_6qcqATH8jvBBCheojJZf4GL8rL7g7KxmEpO96lYGia34MbfXbXahxruJW2emPPeOATyLkeYAajrVQhXXltdooUKRCcaij22zHxbQUSs-IGFK8fYhqKosA0xaMgPFGjaec.aNZOE8yB9fJeqnAAZQmSZpkrNfu-nfPundO81_HboCY%26dib_tag%3Dse%26keywords%3DM3x8mm%2Ballen%26qid%3D1764319148%26s%3Dindustrial%26sprefix%3Dm3x8mm%2Ballen%252Cindustrial%252C103%26sr%3D1-1-spons%26aref%3DTp4yBGhfKX%26sp_csd%3Dd2lkZ2V0TmFtZT1zcF9hdGY%26psc%3D1&amp;aref=Tp4yBGhfKX&amp;sp_cr=ZAZ</t>
  </si>
  <si>
    <t>M2.5x5mm machine screw</t>
  </si>
  <si>
    <t>https://www.amazon.co.uk/sspa/click?ie=UTF8&amp;spc=MTo3MjMxOTMwOTUxNDUzNTE3OjE3NjQzMTkyNDQ6c3BfYXRmOjMwMDI3NDg5MTI3MDgzMjo6MDo6&amp;url=%2FTA-VIGOR-M2-5-5mm-Stainless-Fastener%2Fdp%2FB0D7ZK6GPN%2Fref%3Dsr_1_3_sspa%3Fcrid%3D35HO0P06T2AR0%26dib%3DeyJ2IjoiMSJ9.oQCZbMAoFDz1Jui3RNOzg3tN9VkpZoAb6P52DubYxKXy2SThMO4COUh_njN3J8HpSGqQ_MHm9Qi24j8dWpL30_w5y8dBA0CgV210L3A50jJlqhFUtJpi_nuEz5qsplDUaTZcs168yQwjw6s8wKYQAQ9S3a4LPsr-nPcuU0j1c_ynoMWYpQaEJxHScGTyop7V0UM4-td3v2Bq4_Qh9YZGT4pR44_HCwwtJYzUWCH4BuLVgerad97n6TY_jKh_492kyA7F2eaB_bscR-H6Io5qOC-_v0--ig0FQlYECZU21TU.tj1gqm3KbGXzPMZ-KoePzlxf7DDZzXY2OeXdpLtYYVo%26dib_tag%3Dse%26keywords%3DM2.5x5mm%26qid%3D1764319244%26s%3Dindustrial%26sprefix%3Dm2.5x5mm%252Cindustrial%252C93%26sr%3D1-3-spons%26aref%3DIjO5VERImb%26sp_csd%3Dd2lkZ2V0TmFtZT1zcF9hdGY%26psc%3D1&amp;aref=IjO5VERImb&amp;sp_cr=Z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</si>
</sst>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0" fillId="0" borderId="0" xfId="0" applyNumberFormat="1"/>
    <xf numFmtId="0" fontId="0" fillId="0" borderId="0" xfId="0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.uk/Double-Sticky-Weather-Resistant-Mounting/dp/B09LJ1F2K2/ref=asc_df_B09LJ1F2K2?tag=bingshoppinga-21&amp;linkCode=df0&amp;hvadid=80058397129761&amp;hvnetw=o&amp;hvqmt=e&amp;hvbmt=be&amp;hvdev=c&amp;hvlocint=&amp;hvlocphy=132794&amp;hvtargid=pla-4583657864774733&amp;msclkid=0cb213465f7717199f6d7a5b953d9fa8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F30E-0ADB-4627-886C-50972B07405F}">
  <dimension ref="A1:E20"/>
  <sheetViews>
    <sheetView workbookViewId="0">
      <selection activeCell="A20" sqref="A20"/>
    </sheetView>
  </sheetViews>
  <sheetFormatPr defaultRowHeight="14.5" x14ac:dyDescent="0.35"/>
  <cols>
    <col min="1" max="1" width="41.6328125" customWidth="1"/>
    <col min="2" max="2" width="15" customWidth="1"/>
    <col min="3" max="3" width="14.7265625" customWidth="1"/>
    <col min="4" max="4" width="15.26953125" customWidth="1"/>
    <col min="5" max="5" width="118.453125" customWidth="1"/>
  </cols>
  <sheetData>
    <row r="1" spans="1:5" s="2" customFormat="1" ht="3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</row>
    <row r="2" spans="1:5" x14ac:dyDescent="0.35">
      <c r="A2" t="s">
        <v>9</v>
      </c>
      <c r="B2" s="4">
        <v>105750</v>
      </c>
      <c r="C2">
        <v>1</v>
      </c>
      <c r="D2" s="3">
        <v>11.4</v>
      </c>
    </row>
    <row r="3" spans="1:5" x14ac:dyDescent="0.35">
      <c r="A3" t="s">
        <v>10</v>
      </c>
      <c r="B3" t="s">
        <v>11</v>
      </c>
      <c r="C3">
        <v>1</v>
      </c>
      <c r="D3" s="3">
        <v>7.5</v>
      </c>
    </row>
    <row r="4" spans="1:5" x14ac:dyDescent="0.35">
      <c r="A4" t="s">
        <v>14</v>
      </c>
      <c r="B4" s="4">
        <v>103316</v>
      </c>
      <c r="C4">
        <v>1</v>
      </c>
      <c r="D4" s="3">
        <v>2.72</v>
      </c>
      <c r="E4" t="s">
        <v>17</v>
      </c>
    </row>
    <row r="5" spans="1:5" x14ac:dyDescent="0.35">
      <c r="A5" t="s">
        <v>16</v>
      </c>
      <c r="B5" s="4">
        <v>104306</v>
      </c>
      <c r="C5">
        <v>1</v>
      </c>
      <c r="D5" s="3">
        <v>3.84</v>
      </c>
    </row>
    <row r="6" spans="1:5" x14ac:dyDescent="0.35">
      <c r="D6" s="3"/>
    </row>
    <row r="7" spans="1:5" x14ac:dyDescent="0.35">
      <c r="D7" s="3"/>
    </row>
    <row r="8" spans="1:5" x14ac:dyDescent="0.35">
      <c r="D8" s="3"/>
    </row>
    <row r="9" spans="1:5" x14ac:dyDescent="0.35">
      <c r="D9" s="3"/>
    </row>
    <row r="10" spans="1:5" x14ac:dyDescent="0.35">
      <c r="D10" s="3"/>
    </row>
    <row r="11" spans="1:5" x14ac:dyDescent="0.35">
      <c r="D11" s="3"/>
    </row>
    <row r="13" spans="1:5" x14ac:dyDescent="0.35">
      <c r="D13" s="3"/>
    </row>
    <row r="20" spans="2:4" x14ac:dyDescent="0.35">
      <c r="B20" t="s">
        <v>12</v>
      </c>
      <c r="D20" s="3">
        <f>SUM(D2:D7)</f>
        <v>25.459999999999997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99BD-8E95-42C7-8DEA-20A662D56CF1}">
  <dimension ref="A1:D25"/>
  <sheetViews>
    <sheetView workbookViewId="0">
      <selection activeCell="D24" sqref="D24"/>
    </sheetView>
  </sheetViews>
  <sheetFormatPr defaultRowHeight="14.5" x14ac:dyDescent="0.35"/>
  <cols>
    <col min="1" max="1" width="41.6328125" customWidth="1"/>
    <col min="2" max="2" width="15" customWidth="1"/>
    <col min="3" max="3" width="14.7265625" customWidth="1"/>
    <col min="4" max="4" width="15.26953125" customWidth="1"/>
  </cols>
  <sheetData>
    <row r="1" spans="1:4" s="2" customFormat="1" ht="35.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8</v>
      </c>
      <c r="B2">
        <v>3498614</v>
      </c>
      <c r="C2">
        <v>1</v>
      </c>
      <c r="D2" s="3">
        <v>12.58</v>
      </c>
    </row>
    <row r="3" spans="1:4" x14ac:dyDescent="0.35">
      <c r="A3" t="s">
        <v>5</v>
      </c>
      <c r="B3">
        <v>4060329</v>
      </c>
      <c r="C3">
        <v>1</v>
      </c>
      <c r="D3" s="3">
        <v>53.62</v>
      </c>
    </row>
    <row r="4" spans="1:4" x14ac:dyDescent="0.35">
      <c r="A4" t="s">
        <v>6</v>
      </c>
      <c r="B4">
        <v>2544935</v>
      </c>
      <c r="C4">
        <v>1</v>
      </c>
      <c r="D4" s="3">
        <v>20.28</v>
      </c>
    </row>
    <row r="5" spans="1:4" x14ac:dyDescent="0.35">
      <c r="A5" t="s">
        <v>4</v>
      </c>
      <c r="B5">
        <v>3051886</v>
      </c>
      <c r="C5">
        <v>1</v>
      </c>
      <c r="D5" s="3">
        <v>40.01</v>
      </c>
    </row>
    <row r="6" spans="1:4" x14ac:dyDescent="0.35">
      <c r="D6" s="3"/>
    </row>
    <row r="7" spans="1:4" x14ac:dyDescent="0.35">
      <c r="D7" s="3"/>
    </row>
    <row r="8" spans="1:4" x14ac:dyDescent="0.35">
      <c r="D8" s="3"/>
    </row>
    <row r="9" spans="1:4" x14ac:dyDescent="0.35">
      <c r="D9" s="3"/>
    </row>
    <row r="10" spans="1:4" x14ac:dyDescent="0.35">
      <c r="D10" s="3"/>
    </row>
    <row r="11" spans="1:4" x14ac:dyDescent="0.35">
      <c r="D11" s="3"/>
    </row>
    <row r="12" spans="1:4" x14ac:dyDescent="0.35">
      <c r="D12" s="3"/>
    </row>
    <row r="13" spans="1:4" x14ac:dyDescent="0.35">
      <c r="D13" s="3"/>
    </row>
    <row r="14" spans="1:4" x14ac:dyDescent="0.35">
      <c r="D14" s="3"/>
    </row>
    <row r="15" spans="1:4" x14ac:dyDescent="0.35">
      <c r="D15" s="3"/>
    </row>
    <row r="16" spans="1:4" x14ac:dyDescent="0.35">
      <c r="D16" s="3"/>
    </row>
    <row r="17" spans="1:4" x14ac:dyDescent="0.35">
      <c r="D17" s="3"/>
    </row>
    <row r="18" spans="1:4" x14ac:dyDescent="0.35">
      <c r="D18" s="3"/>
    </row>
    <row r="19" spans="1:4" x14ac:dyDescent="0.35">
      <c r="D19" s="3"/>
    </row>
    <row r="20" spans="1:4" x14ac:dyDescent="0.35">
      <c r="D20" s="3"/>
    </row>
    <row r="21" spans="1:4" x14ac:dyDescent="0.35">
      <c r="D21" s="3"/>
    </row>
    <row r="22" spans="1:4" x14ac:dyDescent="0.35">
      <c r="A22" t="s">
        <v>7</v>
      </c>
      <c r="B22" t="s">
        <v>12</v>
      </c>
      <c r="D22" s="3">
        <f>SUM(D2:D15)</f>
        <v>126.49000000000001</v>
      </c>
    </row>
    <row r="23" spans="1:4" x14ac:dyDescent="0.35">
      <c r="D23" s="3"/>
    </row>
    <row r="24" spans="1:4" x14ac:dyDescent="0.35">
      <c r="A24" t="s">
        <v>13</v>
      </c>
      <c r="D24" s="3">
        <f>SUM(D22,'Pi Hut'!D20)</f>
        <v>151.95000000000002</v>
      </c>
    </row>
    <row r="25" spans="1:4" x14ac:dyDescent="0.35">
      <c r="D2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D03F-3A3C-4D00-8645-EF78202DB5F0}">
  <dimension ref="A1:F22"/>
  <sheetViews>
    <sheetView tabSelected="1" workbookViewId="0">
      <selection activeCell="F4" sqref="F4"/>
    </sheetView>
  </sheetViews>
  <sheetFormatPr defaultRowHeight="14.5" x14ac:dyDescent="0.35"/>
  <cols>
    <col min="1" max="1" width="68.26953125" customWidth="1"/>
    <col min="2" max="2" width="27.36328125" customWidth="1"/>
    <col min="3" max="3" width="20.26953125" customWidth="1"/>
    <col min="4" max="4" width="19.08984375" customWidth="1"/>
    <col min="5" max="5" width="14.1796875" customWidth="1"/>
    <col min="6" max="6" width="102.36328125" customWidth="1"/>
  </cols>
  <sheetData>
    <row r="1" spans="1:6" s="2" customFormat="1" ht="35.5" customHeight="1" x14ac:dyDescent="0.35">
      <c r="A1" s="1" t="s">
        <v>0</v>
      </c>
      <c r="B1" s="1" t="s">
        <v>1</v>
      </c>
      <c r="C1" s="1" t="s">
        <v>20</v>
      </c>
      <c r="D1" s="1" t="s">
        <v>19</v>
      </c>
      <c r="E1" s="1" t="s">
        <v>3</v>
      </c>
      <c r="F1" s="1" t="s">
        <v>18</v>
      </c>
    </row>
    <row r="2" spans="1:6" x14ac:dyDescent="0.35">
      <c r="A2" t="s">
        <v>21</v>
      </c>
      <c r="C2" t="s">
        <v>23</v>
      </c>
      <c r="D2" t="s">
        <v>24</v>
      </c>
      <c r="E2" s="3">
        <v>4.49</v>
      </c>
      <c r="F2" s="5" t="s">
        <v>22</v>
      </c>
    </row>
    <row r="3" spans="1:6" x14ac:dyDescent="0.35">
      <c r="A3" t="s">
        <v>25</v>
      </c>
      <c r="C3">
        <v>100</v>
      </c>
      <c r="D3">
        <v>4</v>
      </c>
      <c r="E3" s="3">
        <v>5.99</v>
      </c>
      <c r="F3" t="s">
        <v>26</v>
      </c>
    </row>
    <row r="4" spans="1:6" x14ac:dyDescent="0.35">
      <c r="A4" t="s">
        <v>27</v>
      </c>
      <c r="C4">
        <v>50</v>
      </c>
      <c r="D4">
        <v>4</v>
      </c>
      <c r="E4" s="3">
        <v>5.19</v>
      </c>
      <c r="F4" t="s">
        <v>28</v>
      </c>
    </row>
    <row r="5" spans="1:6" x14ac:dyDescent="0.35">
      <c r="E5" s="3"/>
    </row>
    <row r="6" spans="1:6" x14ac:dyDescent="0.35">
      <c r="E6" s="3"/>
    </row>
    <row r="7" spans="1:6" x14ac:dyDescent="0.35">
      <c r="E7" s="3"/>
    </row>
    <row r="8" spans="1:6" x14ac:dyDescent="0.35">
      <c r="E8" s="3"/>
    </row>
    <row r="9" spans="1:6" x14ac:dyDescent="0.35">
      <c r="E9" s="3"/>
    </row>
    <row r="10" spans="1:6" x14ac:dyDescent="0.35">
      <c r="E10" s="3"/>
    </row>
    <row r="11" spans="1:6" x14ac:dyDescent="0.35">
      <c r="E11" s="3"/>
    </row>
    <row r="12" spans="1:6" x14ac:dyDescent="0.35">
      <c r="E12" s="3"/>
    </row>
    <row r="13" spans="1:6" x14ac:dyDescent="0.35">
      <c r="E13" s="3"/>
    </row>
    <row r="14" spans="1:6" x14ac:dyDescent="0.35">
      <c r="E14" s="3"/>
    </row>
    <row r="15" spans="1:6" x14ac:dyDescent="0.35">
      <c r="E15" s="3"/>
    </row>
    <row r="16" spans="1:6" x14ac:dyDescent="0.35">
      <c r="E16" s="3"/>
    </row>
    <row r="17" spans="2:5" x14ac:dyDescent="0.35">
      <c r="E17" s="3"/>
    </row>
    <row r="18" spans="2:5" x14ac:dyDescent="0.35">
      <c r="E18" s="3"/>
    </row>
    <row r="19" spans="2:5" x14ac:dyDescent="0.35">
      <c r="E19" s="3"/>
    </row>
    <row r="20" spans="2:5" x14ac:dyDescent="0.35">
      <c r="E20" s="3"/>
    </row>
    <row r="21" spans="2:5" x14ac:dyDescent="0.35">
      <c r="E21" s="3"/>
    </row>
    <row r="22" spans="2:5" x14ac:dyDescent="0.35">
      <c r="B22" t="s">
        <v>12</v>
      </c>
      <c r="E22" s="3">
        <f>SUM(E2:E15)</f>
        <v>15.670000000000002</v>
      </c>
    </row>
  </sheetData>
  <hyperlinks>
    <hyperlink ref="F2" r:id="rId1" display="https://www.amazon.co.uk/Double-Sticky-Weather-Resistant-Mounting/dp/B09LJ1F2K2/ref=asc_df_B09LJ1F2K2?tag=bingshoppinga-21&amp;linkCode=df0&amp;hvadid=80058397129761&amp;hvnetw=o&amp;hvqmt=e&amp;hvbmt=be&amp;hvdev=c&amp;hvlocint=&amp;hvlocphy=132794&amp;hvtargid=pla-4583657864774733&amp;msclkid=0cb213465f7717199f6d7a5b953d9fa8&amp;th=1" xr:uid="{4AA55AD2-0C02-49B8-BBA4-830057889B8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83417e1-e776-477f-9fa0-a32183dc39ec}" enabled="0" method="" siteId="{483417e1-e776-477f-9fa0-a32183dc39e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 Hut</vt:lpstr>
      <vt:lpstr>Farnell</vt:lpstr>
      <vt:lpstr>Tools &amp; Consumables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Bull</dc:creator>
  <cp:lastModifiedBy>Matthew Bull</cp:lastModifiedBy>
  <dcterms:created xsi:type="dcterms:W3CDTF">2025-07-14T11:11:05Z</dcterms:created>
  <dcterms:modified xsi:type="dcterms:W3CDTF">2026-03-23T17:32:48Z</dcterms:modified>
</cp:coreProperties>
</file>